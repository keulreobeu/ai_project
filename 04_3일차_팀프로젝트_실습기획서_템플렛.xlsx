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scode\ai_project\"/>
    </mc:Choice>
  </mc:AlternateContent>
  <xr:revisionPtr revIDLastSave="0" documentId="13_ncr:1_{3ABECE2E-46A0-4FBB-BAA1-CED4F037D8A5}" xr6:coauthVersionLast="47" xr6:coauthVersionMax="47" xr10:uidLastSave="{00000000-0000-0000-0000-000000000000}"/>
  <bookViews>
    <workbookView xWindow="2610" yWindow="3930" windowWidth="28800" windowHeight="15345" tabRatio="500" firstSheet="1" activeTab="3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6" i="4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</calcChain>
</file>

<file path=xl/sharedStrings.xml><?xml version="1.0" encoding="utf-8"?>
<sst xmlns="http://schemas.openxmlformats.org/spreadsheetml/2006/main" count="298" uniqueCount="259">
  <si>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</si>
  <si>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</si>
  <si>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</si>
  <si>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</si>
  <si>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</si>
  <si>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</si>
  <si>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</si>
  <si>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</si>
  <si>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</si>
  <si>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</si>
  <si>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</si>
  <si>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</si>
  <si>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</si>
  <si>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</si>
  <si>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</si>
  <si>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</si>
  <si>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</si>
  <si>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</si>
  <si>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</si>
  <si>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</si>
  <si>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</si>
  <si>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</si>
  <si>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</si>
  <si>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</si>
  <si>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</si>
  <si>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</si>
  <si>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</si>
  <si>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</si>
  <si>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</si>
  <si>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</si>
  <si>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</si>
  <si>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</si>
  <si>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</si>
  <si>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</si>
  <si>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</si>
  <si>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</si>
  <si>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</si>
  <si>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</si>
  <si>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</si>
  <si>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</si>
  <si>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</si>
  <si>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</si>
  <si>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</si>
  <si>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</si>
  <si>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</si>
  <si>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</si>
  <si>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</si>
  <si>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</si>
  <si>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</si>
  <si>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</si>
  <si>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</si>
  <si>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</si>
  <si>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</si>
  <si>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</si>
  <si>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</si>
  <si>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</si>
  <si>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</si>
  <si>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</si>
  <si>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</si>
  <si>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</si>
  <si>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</si>
  <si>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</si>
  <si>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</si>
  <si>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</si>
  <si>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</si>
  <si>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</si>
  <si>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</si>
  <si>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</si>
  <si>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</si>
  <si>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</si>
  <si>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</si>
  <si>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</si>
  <si>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</si>
  <si>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</si>
  <si>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</si>
  <si>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</si>
  <si>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</si>
  <si>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</si>
  <si>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</si>
  <si>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</si>
  <si>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</si>
  <si>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</si>
  <si>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</si>
  <si>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</si>
  <si>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</si>
  <si>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</si>
  <si>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</si>
  <si>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</si>
  <si>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</si>
  <si>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</si>
  <si>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</si>
  <si>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</si>
  <si>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</si>
  <si>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</si>
  <si>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</si>
  <si>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</si>
  <si>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</si>
  <si>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</si>
  <si>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</si>
  <si>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</si>
  <si>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</si>
  <si>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</si>
  <si>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</si>
  <si>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</si>
  <si>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</si>
  <si>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</si>
  <si>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</si>
  <si>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</si>
  <si>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</si>
  <si>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</si>
  <si>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</si>
  <si>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</si>
  <si>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</si>
  <si>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</si>
  <si>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</si>
  <si>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</si>
  <si>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</si>
  <si>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</si>
  <si>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</si>
  <si>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</si>
  <si>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</si>
  <si>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</si>
  <si>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</si>
  <si>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</si>
  <si>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</si>
  <si>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</si>
  <si>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</si>
  <si>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</si>
  <si>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</si>
  <si>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</si>
  <si>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</si>
  <si>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</si>
  <si>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</si>
  <si>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</si>
  <si>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</si>
  <si>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</si>
  <si>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</si>
  <si>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</si>
  <si>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</si>
  <si>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</si>
  <si>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</si>
  <si>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</si>
  <si>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</si>
  <si>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</si>
  <si>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</si>
  <si>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</si>
  <si>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</si>
  <si>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</si>
  <si>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</si>
  <si>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</si>
  <si>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</si>
  <si>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</si>
  <si>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회원가입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로그인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인증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체계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미적용</t>
    </r>
  </si>
  <si>
    <r>
      <t xml:space="preserve">III,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</si>
  <si>
    <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단순화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보안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요구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낮음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세션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</si>
  <si>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방식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</si>
  <si>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작성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제목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내용과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등록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수정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삭제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</si>
  <si>
    <r>
      <t>III-</t>
    </r>
    <r>
      <rPr>
        <sz val="10"/>
        <color rgb="FF222222"/>
        <rFont val="돋움"/>
        <family val="3"/>
        <charset val="129"/>
      </rPr>
      <t>나</t>
    </r>
  </si>
  <si>
    <r>
      <t>교육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평문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저장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실제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서비스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보안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취약성은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있음</t>
    </r>
  </si>
  <si>
    <r>
      <t xml:space="preserve">CRUD API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UI</t>
    </r>
  </si>
  <si>
    <r>
      <t>선정한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카테고리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게시판에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조회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상세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조회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작성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수정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삭제</t>
    </r>
    <r>
      <rPr>
        <sz val="10"/>
        <color rgb="FF222222"/>
        <rFont val="Noto Sans CJK SC"/>
        <family val="2"/>
      </rPr>
      <t xml:space="preserve"> API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Vue.js </t>
    </r>
    <r>
      <rPr>
        <sz val="10"/>
        <color rgb="FF222222"/>
        <rFont val="돋움"/>
        <family val="3"/>
        <charset val="129"/>
      </rPr>
      <t>화면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</si>
  <si>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III-</t>
    </r>
    <r>
      <rPr>
        <sz val="10"/>
        <color rgb="FF222222"/>
        <rFont val="돋움"/>
        <family val="3"/>
        <charset val="129"/>
      </rPr>
      <t>다</t>
    </r>
  </si>
  <si>
    <r>
      <t>FastAPI REST API</t>
    </r>
    <r>
      <rPr>
        <sz val="10"/>
        <color rgb="FF222222"/>
        <rFont val="돋움"/>
        <family val="3"/>
        <charset val="129"/>
      </rPr>
      <t>와</t>
    </r>
    <r>
      <rPr>
        <sz val="10"/>
        <color rgb="FF222222"/>
        <rFont val="Noto Sans CJK SC"/>
        <family val="2"/>
      </rPr>
      <t xml:space="preserve"> Vue.js </t>
    </r>
    <r>
      <rPr>
        <sz val="10"/>
        <color rgb="FF222222"/>
        <rFont val="돋움"/>
        <family val="3"/>
        <charset val="129"/>
      </rPr>
      <t>화면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연동을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명확히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</t>
    </r>
  </si>
  <si>
    <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</si>
  <si>
    <r>
      <t xml:space="preserve">FastAPI POST /api/chat </t>
    </r>
    <r>
      <rPr>
        <sz val="10"/>
        <color rgb="FF222222"/>
        <rFont val="돋움"/>
        <family val="3"/>
        <charset val="129"/>
      </rPr>
      <t>엔드포인트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개발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제공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자연어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질의응답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</t>
    </r>
  </si>
  <si>
    <r>
      <t xml:space="preserve">III,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</si>
  <si>
    <r>
      <t xml:space="preserve">OpenAI API </t>
    </r>
    <r>
      <rPr>
        <sz val="10"/>
        <color rgb="FF222222"/>
        <rFont val="돋움"/>
        <family val="3"/>
        <charset val="129"/>
      </rPr>
      <t>활용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가능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응답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정확도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답변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중요</t>
    </r>
  </si>
  <si>
    <r>
      <t>채팅</t>
    </r>
    <r>
      <rPr>
        <sz val="10"/>
        <color rgb="FF222222"/>
        <rFont val="Noto Sans CJK SC"/>
        <family val="2"/>
      </rPr>
      <t xml:space="preserve"> UI</t>
    </r>
  </si>
  <si>
    <r>
      <t>대화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히스토리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유지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모바일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대응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플로팅</t>
    </r>
    <r>
      <rPr>
        <sz val="10"/>
        <color rgb="FF222222"/>
        <rFont val="Noto Sans CJK SC"/>
        <family val="2"/>
      </rPr>
      <t xml:space="preserve"> UI </t>
    </r>
    <r>
      <rPr>
        <sz val="10"/>
        <color rgb="FF222222"/>
        <rFont val="돋움"/>
        <family val="3"/>
        <charset val="129"/>
      </rPr>
      <t>개발</t>
    </r>
  </si>
  <si>
    <r>
      <t xml:space="preserve">UX </t>
    </r>
    <r>
      <rPr>
        <sz val="10"/>
        <color rgb="FF222222"/>
        <rFont val="돋움"/>
        <family val="3"/>
        <charset val="129"/>
      </rPr>
      <t>요소로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포함해야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모바일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레이아웃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</t>
    </r>
  </si>
  <si>
    <t>Vue.js 3 SPA</t>
  </si>
  <si>
    <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프레임워크는</t>
    </r>
    <r>
      <rPr>
        <sz val="10"/>
        <color rgb="FF222222"/>
        <rFont val="Noto Sans CJK SC"/>
        <family val="2"/>
      </rPr>
      <t xml:space="preserve"> Vue.js 3, SPA </t>
    </r>
    <r>
      <rPr>
        <sz val="10"/>
        <color rgb="FF222222"/>
        <rFont val="돋움"/>
        <family val="3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구성</t>
    </r>
  </si>
  <si>
    <r>
      <t xml:space="preserve">III,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</si>
  <si>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기술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스택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고정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다른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프레임워크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불가</t>
    </r>
  </si>
  <si>
    <t>FastAPI + SQLite</t>
  </si>
  <si>
    <r>
      <t xml:space="preserve">FastAPI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REST API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Noto Sans CJK SC"/>
        <family val="2"/>
      </rPr>
      <t xml:space="preserve">, SQLAlchemy ORM </t>
    </r>
    <r>
      <rPr>
        <sz val="10"/>
        <color rgb="FF222222"/>
        <rFont val="돋움"/>
        <family val="3"/>
        <charset val="129"/>
      </rPr>
      <t>적용</t>
    </r>
    <r>
      <rPr>
        <sz val="10"/>
        <color rgb="FF222222"/>
        <rFont val="Noto Sans CJK SC"/>
        <family val="2"/>
      </rPr>
      <t xml:space="preserve">, SQLite </t>
    </r>
    <r>
      <rPr>
        <sz val="10"/>
        <color rgb="FF222222"/>
        <rFont val="돋움"/>
        <family val="3"/>
        <charset val="129"/>
      </rPr>
      <t>스키마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</si>
  <si>
    <r>
      <t xml:space="preserve">III, </t>
    </r>
    <r>
      <rPr>
        <sz val="10"/>
        <color rgb="FF222222"/>
        <rFont val="돋움"/>
        <family val="3"/>
        <charset val="129"/>
      </rPr>
      <t>백엔드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</si>
  <si>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백엔드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스택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고정</t>
    </r>
    <r>
      <rPr>
        <sz val="10"/>
        <color rgb="FF222222"/>
        <rFont val="Noto Sans CJK SC"/>
        <family val="2"/>
      </rPr>
      <t xml:space="preserve">; DB </t>
    </r>
    <r>
      <rPr>
        <sz val="10"/>
        <color rgb="FF222222"/>
        <rFont val="돋움"/>
        <family val="3"/>
        <charset val="129"/>
      </rPr>
      <t>설계와</t>
    </r>
    <r>
      <rPr>
        <sz val="10"/>
        <color rgb="FF222222"/>
        <rFont val="Noto Sans CJK SC"/>
        <family val="2"/>
      </rPr>
      <t xml:space="preserve"> ORM </t>
    </r>
    <r>
      <rPr>
        <sz val="10"/>
        <color rgb="FF222222"/>
        <rFont val="돋움"/>
        <family val="3"/>
        <charset val="129"/>
      </rPr>
      <t>연동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</t>
    </r>
  </si>
  <si>
    <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</t>
    </r>
  </si>
  <si>
    <r>
      <t>프론트엔드</t>
    </r>
    <r>
      <rPr>
        <sz val="10"/>
        <color rgb="FF222222"/>
        <rFont val="Noto Sans CJK SC"/>
        <family val="2"/>
      </rPr>
      <t xml:space="preserve"> 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백엔드</t>
    </r>
    <r>
      <rPr>
        <sz val="10"/>
        <color rgb="FF222222"/>
        <rFont val="Noto Sans CJK SC"/>
        <family val="2"/>
      </rPr>
      <t xml:space="preserve"> Render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동작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</si>
  <si>
    <r>
      <t xml:space="preserve">III,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</t>
    </r>
  </si>
  <si>
    <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지정</t>
    </r>
    <r>
      <rPr>
        <sz val="10"/>
        <color rgb="FF222222"/>
        <rFont val="Noto Sans CJK SC"/>
        <family val="2"/>
      </rPr>
      <t xml:space="preserve">; URL </t>
    </r>
    <r>
      <rPr>
        <sz val="10"/>
        <color rgb="FF222222"/>
        <rFont val="돋움"/>
        <family val="3"/>
        <charset val="129"/>
      </rPr>
      <t>검증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자료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포함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</si>
  <si>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제출</t>
    </r>
  </si>
  <si>
    <r>
      <t>2026</t>
    </r>
    <r>
      <rPr>
        <sz val="10"/>
        <color rgb="FF222222"/>
        <rFont val="돋움"/>
        <family val="3"/>
        <charset val="129"/>
      </rPr>
      <t>년</t>
    </r>
    <r>
      <rPr>
        <sz val="10"/>
        <color rgb="FF222222"/>
        <rFont val="Noto Sans CJK SC"/>
        <family val="2"/>
      </rPr>
      <t xml:space="preserve"> 7</t>
    </r>
    <r>
      <rPr>
        <sz val="10"/>
        <color rgb="FF222222"/>
        <rFont val="돋움"/>
        <family val="3"/>
        <charset val="129"/>
      </rPr>
      <t>월</t>
    </r>
    <r>
      <rPr>
        <sz val="10"/>
        <color rgb="FF222222"/>
        <rFont val="Noto Sans CJK SC"/>
        <family val="2"/>
      </rPr>
      <t xml:space="preserve"> 16</t>
    </r>
    <r>
      <rPr>
        <sz val="10"/>
        <color rgb="FF222222"/>
        <rFont val="돋움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 15:00</t>
    </r>
    <r>
      <rPr>
        <sz val="10"/>
        <color rgb="FF222222"/>
        <rFont val="돋움"/>
        <family val="3"/>
        <charset val="129"/>
      </rPr>
      <t>까지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결과물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발표자료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지정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산출물을</t>
    </r>
    <r>
      <rPr>
        <sz val="10"/>
        <color rgb="FF222222"/>
        <rFont val="Noto Sans CJK SC"/>
        <family val="2"/>
      </rPr>
      <t xml:space="preserve"> SSAFY Git Lab </t>
    </r>
    <r>
      <rPr>
        <sz val="10"/>
        <color rgb="FF222222"/>
        <rFont val="돋움"/>
        <family val="3"/>
        <charset val="129"/>
      </rPr>
      <t>제출</t>
    </r>
  </si>
  <si>
    <t>II, IV</t>
  </si>
  <si>
    <r>
      <t>일정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엄수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누락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미완료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</t>
    </r>
  </si>
  <si>
    <r>
      <t>산출물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</t>
    </r>
  </si>
  <si>
    <r>
      <t>프론트엔드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백엔드</t>
    </r>
    <r>
      <rPr>
        <sz val="10"/>
        <color rgb="FF222222"/>
        <rFont val="Noto Sans CJK SC"/>
        <family val="2"/>
      </rPr>
      <t xml:space="preserve"> repo URL, SQLite DB </t>
    </r>
    <r>
      <rPr>
        <sz val="10"/>
        <color rgb="FF222222"/>
        <rFont val="돋움"/>
        <family val="3"/>
        <charset val="129"/>
      </rPr>
      <t>파일</t>
    </r>
    <r>
      <rPr>
        <sz val="10"/>
        <color rgb="FF222222"/>
        <rFont val="Noto Sans CJK SC"/>
        <family val="2"/>
      </rPr>
      <t xml:space="preserve">, Netlify/Render URL,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명세서</t>
    </r>
    <r>
      <rPr>
        <sz val="10"/>
        <color rgb="FF222222"/>
        <rFont val="Noto Sans CJK SC"/>
        <family val="2"/>
      </rPr>
      <t xml:space="preserve">, WBS </t>
    </r>
    <r>
      <rPr>
        <sz val="10"/>
        <color rgb="FF222222"/>
        <rFont val="돋움"/>
        <family val="3"/>
        <charset val="129"/>
      </rPr>
      <t>문서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발표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자료</t>
    </r>
  </si>
  <si>
    <t>IV</t>
  </si>
  <si>
    <r>
      <t>제출물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완전성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중요</t>
    </r>
    <r>
      <rPr>
        <sz val="10"/>
        <color rgb="FF222222"/>
        <rFont val="Noto Sans CJK SC"/>
        <family val="2"/>
      </rPr>
      <t xml:space="preserve">; .env </t>
    </r>
    <r>
      <rPr>
        <sz val="10"/>
        <color rgb="FF222222"/>
        <rFont val="돋움"/>
        <family val="3"/>
        <charset val="129"/>
      </rPr>
      <t>제외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</t>
    </r>
  </si>
  <si>
    <t>제약</t>
  </si>
  <si>
    <r>
      <t>제공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개발</t>
    </r>
  </si>
  <si>
    <r>
      <t>제공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파일을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기반으로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</t>
    </r>
    <r>
      <rPr>
        <sz val="10"/>
        <color rgb="FF222222"/>
        <rFont val="Noto Sans CJK SC"/>
        <family val="2"/>
      </rPr>
      <t xml:space="preserve"> API </t>
    </r>
    <r>
      <rPr>
        <sz val="10"/>
        <color rgb="FF222222"/>
        <rFont val="돋움"/>
        <family val="3"/>
        <charset val="129"/>
      </rPr>
      <t>호출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불필요</t>
    </r>
  </si>
  <si>
    <r>
      <t>III-</t>
    </r>
    <r>
      <rPr>
        <sz val="10"/>
        <color rgb="FF222222"/>
        <rFont val="돋움"/>
        <family val="3"/>
        <charset val="129"/>
      </rPr>
      <t>가</t>
    </r>
  </si>
  <si>
    <r>
      <t>제공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추가</t>
    </r>
    <r>
      <rPr>
        <sz val="10"/>
        <color rgb="FF222222"/>
        <rFont val="Noto Sans CJK SC"/>
        <family val="2"/>
      </rPr>
      <t xml:space="preserve"> API </t>
    </r>
    <r>
      <rPr>
        <sz val="10"/>
        <color rgb="FF222222"/>
        <rFont val="돋움"/>
        <family val="3"/>
        <charset val="129"/>
      </rPr>
      <t>호출을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최소화</t>
    </r>
  </si>
  <si>
    <r>
      <t>추가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제한</t>
    </r>
  </si>
  <si>
    <r>
      <t>추가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반드시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공공누리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유형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수집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사용</t>
    </r>
  </si>
  <si>
    <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프로세스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기획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단계에서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반드시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</si>
  <si>
    <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출처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명시</t>
    </r>
  </si>
  <si>
    <r>
      <t>활용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3"/>
        <charset val="129"/>
      </rPr>
      <t>출처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라이선스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수집일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돋움"/>
        <family val="3"/>
        <charset val="129"/>
      </rPr>
      <t>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명세서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항목으로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정리</t>
    </r>
  </si>
  <si>
    <r>
      <t>산출물에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문서화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</si>
  <si>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DB </t>
    </r>
    <r>
      <rPr>
        <sz val="10"/>
        <color rgb="FF222222"/>
        <rFont val="돋움"/>
        <family val="3"/>
        <charset val="129"/>
      </rPr>
      <t>저장</t>
    </r>
  </si>
  <si>
    <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반드시</t>
    </r>
    <r>
      <rPr>
        <sz val="10"/>
        <color rgb="FF222222"/>
        <rFont val="Noto Sans CJK SC"/>
        <family val="2"/>
      </rPr>
      <t xml:space="preserve"> DB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저장되어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관리돼야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</t>
    </r>
  </si>
  <si>
    <r>
      <t>III-</t>
    </r>
    <r>
      <rPr>
        <sz val="10"/>
        <color rgb="FF222222"/>
        <rFont val="돋움"/>
        <family val="3"/>
        <charset val="129"/>
      </rPr>
      <t>라</t>
    </r>
  </si>
  <si>
    <r>
      <t>파일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기반과는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별도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영속성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</si>
  <si>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t>민감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환경변수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관리</t>
    </r>
  </si>
  <si>
    <r>
      <t xml:space="preserve">API </t>
    </r>
    <r>
      <rPr>
        <sz val="10"/>
        <color rgb="FF222222"/>
        <rFont val="돋움"/>
        <family val="3"/>
        <charset val="129"/>
      </rPr>
      <t>키</t>
    </r>
    <r>
      <rPr>
        <sz val="10"/>
        <color rgb="FF222222"/>
        <rFont val="Noto Sans CJK SC"/>
        <family val="2"/>
      </rPr>
      <t xml:space="preserve">, DB </t>
    </r>
    <r>
      <rPr>
        <sz val="10"/>
        <color rgb="FF222222"/>
        <rFont val="돋움"/>
        <family val="3"/>
        <charset val="129"/>
      </rPr>
      <t>경로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서비스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인증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민감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반드시</t>
    </r>
    <r>
      <rPr>
        <sz val="10"/>
        <color rgb="FF222222"/>
        <rFont val="Noto Sans CJK SC"/>
        <family val="2"/>
      </rPr>
      <t xml:space="preserve"> .env</t>
    </r>
    <r>
      <rPr>
        <sz val="10"/>
        <color rgb="FF222222"/>
        <rFont val="돋움"/>
        <family val="3"/>
        <charset val="129"/>
      </rPr>
      <t>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관리</t>
    </r>
  </si>
  <si>
    <r>
      <t>민감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엄격</t>
    </r>
    <r>
      <rPr>
        <sz val="10"/>
        <color rgb="FF222222"/>
        <rFont val="Noto Sans CJK SC"/>
        <family val="2"/>
      </rPr>
      <t>; .env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Git</t>
    </r>
    <r>
      <rPr>
        <sz val="10"/>
        <color rgb="FF222222"/>
        <rFont val="돋움"/>
        <family val="3"/>
        <charset val="129"/>
      </rPr>
      <t>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배제해야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</t>
    </r>
  </si>
  <si>
    <r>
      <t>민감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금지</t>
    </r>
  </si>
  <si>
    <r>
      <t>소스코드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GitHub </t>
    </r>
    <r>
      <rPr>
        <sz val="10"/>
        <color rgb="FF222222"/>
        <rFont val="돋움"/>
        <family val="3"/>
        <charset val="129"/>
      </rPr>
      <t>저장소에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민감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기재를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절대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금지</t>
    </r>
  </si>
  <si>
    <r>
      <t>보안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위반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계약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리스크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발생</t>
    </r>
  </si>
  <si>
    <r>
      <t>기타</t>
    </r>
    <r>
      <rPr>
        <sz val="10"/>
        <color rgb="FF222222"/>
        <rFont val="Noto Sans CJK SC"/>
        <family val="2"/>
      </rPr>
      <t xml:space="preserve"> AI </t>
    </r>
    <r>
      <rPr>
        <sz val="10"/>
        <color rgb="FF222222"/>
        <rFont val="돋움"/>
        <family val="3"/>
        <charset val="129"/>
      </rPr>
      <t>코딩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도구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금지</t>
    </r>
  </si>
  <si>
    <r>
      <t xml:space="preserve">Claude Code, Codex, Cursor, Antigravity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기타</t>
    </r>
    <r>
      <rPr>
        <sz val="10"/>
        <color rgb="FF222222"/>
        <rFont val="Noto Sans CJK SC"/>
        <family val="2"/>
      </rPr>
      <t xml:space="preserve"> AI </t>
    </r>
    <r>
      <rPr>
        <sz val="10"/>
        <color rgb="FF222222"/>
        <rFont val="돋움"/>
        <family val="3"/>
        <charset val="129"/>
      </rPr>
      <t>도구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불가</t>
    </r>
  </si>
  <si>
    <r>
      <t>개발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환경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준수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위반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계약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따라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</t>
    </r>
  </si>
  <si>
    <t>선택</t>
  </si>
  <si>
    <r>
      <t xml:space="preserve">IV,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>2</t>
    </r>
  </si>
  <si>
    <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</si>
  <si>
    <r>
      <t>시각화로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전달력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강화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가능</t>
    </r>
  </si>
  <si>
    <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캘린더</t>
    </r>
  </si>
  <si>
    <r>
      <t>권역별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일정을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캘린더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형태로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</si>
  <si>
    <r>
      <t xml:space="preserve">FullCalendar </t>
    </r>
    <r>
      <rPr>
        <sz val="11"/>
        <color theme="1"/>
        <rFont val="돋움"/>
        <family val="3"/>
        <charset val="129"/>
      </rPr>
      <t>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라이브러리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가능</t>
    </r>
  </si>
  <si>
    <r>
      <t>경로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안내</t>
    </r>
  </si>
  <si>
    <r>
      <t>복수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관광지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돋움"/>
        <family val="3"/>
        <charset val="129"/>
      </rPr>
      <t>맛집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이동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위에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</si>
  <si>
    <r>
      <t>경로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선택적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사항</t>
    </r>
  </si>
  <si>
    <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</si>
  <si>
    <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날씨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연동하여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권역별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적합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</t>
    </r>
  </si>
  <si>
    <r>
      <t>외부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추가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라이선스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돋움"/>
        <family val="3"/>
        <charset val="129"/>
      </rPr>
      <t>요금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필요</t>
    </r>
  </si>
  <si>
    <r>
      <t>실시간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알림</t>
    </r>
  </si>
  <si>
    <r>
      <t xml:space="preserve">WebSocket </t>
    </r>
    <r>
      <rPr>
        <sz val="11"/>
        <color theme="1"/>
        <rFont val="돋움"/>
        <family val="3"/>
        <charset val="129"/>
      </rPr>
      <t>기반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실시간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알림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접속자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</t>
    </r>
  </si>
  <si>
    <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돋움"/>
        <family val="3"/>
        <charset val="129"/>
      </rPr>
      <t>실시간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요소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가능</t>
    </r>
  </si>
  <si>
    <r>
      <t>다국어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지원</t>
    </r>
  </si>
  <si>
    <r>
      <t>i18n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돋움"/>
        <family val="3"/>
        <charset val="129"/>
      </rPr>
      <t>영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다국어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콘텐츠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</t>
    </r>
  </si>
  <si>
    <r>
      <t>글로벌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개선에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유리</t>
    </r>
  </si>
  <si>
    <r>
      <t>소셜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</si>
  <si>
    <r>
      <t xml:space="preserve">KakaoTalk, </t>
    </r>
    <r>
      <rPr>
        <sz val="11"/>
        <color theme="1"/>
        <rFont val="돋움"/>
        <family val="3"/>
        <charset val="129"/>
      </rPr>
      <t>링크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복사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OG </t>
    </r>
    <r>
      <rPr>
        <sz val="11"/>
        <color theme="1"/>
        <rFont val="돋움"/>
        <family val="3"/>
        <charset val="129"/>
      </rPr>
      <t>태그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메타데이터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구성</t>
    </r>
  </si>
  <si>
    <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플랫폼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확장성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</t>
    </r>
  </si>
  <si>
    <r>
      <t>커뮤니티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추가기능</t>
    </r>
  </si>
  <si>
    <r>
      <t>조회수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북마크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좋아요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이미지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첨부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태그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등</t>
    </r>
  </si>
  <si>
    <r>
      <t>게시판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고도화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아이템으로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자유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가능</t>
    </r>
  </si>
  <si>
    <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</si>
  <si>
    <r>
      <t xml:space="preserve">Leaflet.js </t>
    </r>
    <r>
      <rPr>
        <sz val="10"/>
        <color rgb="FF222222"/>
        <rFont val="돋움"/>
        <family val="3"/>
        <charset val="129"/>
      </rPr>
      <t>또는</t>
    </r>
    <r>
      <rPr>
        <sz val="10"/>
        <color rgb="FF222222"/>
        <rFont val="Noto Sans CJK SC"/>
        <family val="2"/>
      </rPr>
      <t xml:space="preserve"> Kakao Maps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맛집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필터</t>
    </r>
  </si>
  <si>
    <r>
      <t xml:space="preserve">IV, </t>
    </r>
    <r>
      <rPr>
        <sz val="10"/>
        <color rgb="FF222222"/>
        <rFont val="돋움"/>
        <family val="3"/>
        <charset val="129"/>
      </rPr>
      <t>참고</t>
    </r>
    <r>
      <rPr>
        <sz val="10"/>
        <color rgb="FF222222"/>
        <rFont val="Noto Sans CJK SC"/>
        <family val="2"/>
      </rPr>
      <t>2</t>
    </r>
  </si>
  <si>
    <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하나로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가능</t>
    </r>
    <r>
      <rPr>
        <sz val="10"/>
        <color rgb="FF222222"/>
        <rFont val="Noto Sans CJK SC"/>
        <family val="2"/>
      </rPr>
      <t xml:space="preserve">; </t>
    </r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Noto Sans CJK SC"/>
        <family val="2"/>
      </rPr>
      <t xml:space="preserve"> API </t>
    </r>
    <r>
      <rPr>
        <sz val="10"/>
        <color rgb="FF222222"/>
        <rFont val="돋움"/>
        <family val="3"/>
        <charset val="129"/>
      </rP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</si>
  <si>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t xml:space="preserve">Chart.js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D3.js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현황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돋움"/>
        <family val="3"/>
        <charset val="129"/>
      </rPr>
      <t>인기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통계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  <phoneticPr fontId="17" type="noConversion"/>
  </si>
  <si>
    <r>
      <t>지도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시각화</t>
    </r>
  </si>
  <si>
    <r>
      <t>데이터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시각화</t>
    </r>
  </si>
  <si>
    <r>
      <t>축제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캘린더</t>
    </r>
  </si>
  <si>
    <r>
      <t>경로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안내</t>
    </r>
  </si>
  <si>
    <r>
      <t>날씨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정보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연동</t>
    </r>
  </si>
  <si>
    <r>
      <t>실시간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알림</t>
    </r>
  </si>
  <si>
    <r>
      <t>다국어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지원</t>
    </r>
  </si>
  <si>
    <r>
      <t>소셜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공유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연동</t>
    </r>
  </si>
  <si>
    <t>구현난이도 2: Chart.js 같은 라이브러리로 빠르게 차트 구성 가능.
실현가능성 높음: 기존 JSON 데이터만으로 게시글 현황, 인기 지역, 카테고리 통계를 만들 수 있음.
임팩트 높음: 사용자에게 즉각적인 정보 가시성을 제공, 서비스가 더 풍성해 보임.
결론: 가장 안전하고 비용 대비 효과가 큰 선택.</t>
    <phoneticPr fontId="17" type="noConversion"/>
  </si>
  <si>
    <t>구현난이도 2: Vue i18n 설정 후 주요 UI를 번역 처리하면 기본 구현 가능.
실현가능성 높음: 외부 API 없이도 문구만 준비하면 됨.
임팩트 중간: 사용성 개선에 기여하지만 직접 기능처럼 보이진 않음.
결론: 추가 여력이 있으면 함께 구현하기 좋은 기능.</t>
    <phoneticPr fontId="17" type="noConversion"/>
  </si>
  <si>
    <t>구현난이도 3: 지도 라이브러리 사용은 비교적 쉽지만, 데이터 좌표 정합성과 마커/필터 구현이 필요.
실현가능성 중간: 데이터에 위치 정보가 충분히 있어야 빠르게 구현 가능.
임팩트 높음: 시각적 효과가 크지만 시간과 데이터 준비가 변수.
결론: 시간 여유가 있으면 고려, 3일 내에는 우선순위 2순위.</t>
    <phoneticPr fontId="17" type="noConversion"/>
  </si>
  <si>
    <t>구현난이도 3: FullCalendar 연동은 쉽지만 날짜 데이터 정리와 UI가 필요.
실현가능성 중간: 축제 일정 데이터가 잘 정제돼 있어야 함.
임팩트 중간: 기능성이 있지만 핵심 가치 대비 시간 소모가 있을 수 있음.
결론: 데이터가 잘 준비돼 있으면 두 번째 후보.</t>
    <phoneticPr fontId="17" type="noConversion"/>
  </si>
  <si>
    <t>구현난이도 3: 외부 API 호출 및 화면 구성 필요.
실현가능성 중간: 날씨 API 키를 추가로 관리해야 하고, API 제한/요금 고려 필요.
임팩트 중간: 유용하지만 개발/운영 부담이 큼.
결론: 외부 API 관리 부담 때문에 우선순위 낮음.</t>
    <phoneticPr fontId="17" type="noConversion"/>
  </si>
  <si>
    <t>구현난이도 3: WebSocket 또는 서버 폴링 모두 구현 부담이 존재.
실현가능성 중간: 백엔드 추가 작업이 많고 테스트도 필요.
임팩트 중간: 실시간 경험은 좋지만 3일 안에 안정화하기 어렵다.
결론: 가능한 경우는 있으나 추천하지 않음.</t>
    <phoneticPr fontId="17" type="noConversion"/>
  </si>
  <si>
    <t>구현난이도 2: 공유 버튼과 링크 복사 정도면 빠르게 구현 가능.
실현가능성 높음: 외부 API 없이도 충분히 처리 가능.
임팩트 낮음: 기능은 있어도 사용자 체감이 크지 않음.
결론: 진짜 추가 시간이 있으면 구현, 우선순위는 낮음.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</si>
</sst>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4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color rgb="FF222222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42" fillId="0" borderId="0" xfId="0" applyFont="1"/>
    <xf numFmtId="0" fontId="43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D9EAD3"/>
          <bgColor rgb="FFD9EAD3"/>
        </patternFill>
      </fill>
    </dxf>
    <dxf>
      <fill>
        <patternFill patternType="solid">
          <fgColor rgb="FF028090"/>
          <bgColor rgb="FF028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4" t="s">
        <v>110</v>
      </c>
      <c r="C2" s="34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30" t="s">
        <v>116</v>
      </c>
      <c r="C9" s="31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32" t="s">
        <v>5</v>
      </c>
      <c r="C17" s="33"/>
    </row>
    <row r="18" spans="2:3" ht="27.75" customHeight="1">
      <c r="B18" s="35" t="s">
        <v>127</v>
      </c>
      <c r="C18" s="36"/>
    </row>
    <row r="19" spans="2:3" ht="27.75" customHeight="1">
      <c r="B19" s="28" t="s">
        <v>7</v>
      </c>
      <c r="C19" s="29"/>
    </row>
    <row r="20" spans="2:3" ht="27.75" customHeight="1">
      <c r="B20" s="28" t="s">
        <v>8</v>
      </c>
      <c r="C20" s="29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6" sqref="D6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9" t="s">
        <v>9</v>
      </c>
      <c r="C2" s="40"/>
      <c r="D2" s="40"/>
      <c r="E2" s="40"/>
      <c r="F2" s="40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41" t="s">
        <v>128</v>
      </c>
      <c r="C10" s="38"/>
      <c r="D10" s="38"/>
      <c r="E10" s="38"/>
      <c r="F10" s="31"/>
    </row>
    <row r="11" spans="2:10" ht="24" customHeight="1">
      <c r="B11" s="5" t="s">
        <v>6</v>
      </c>
      <c r="C11" s="37" t="s">
        <v>129</v>
      </c>
      <c r="D11" s="38"/>
      <c r="E11" s="38"/>
      <c r="F11" s="38"/>
    </row>
    <row r="12" spans="2:10" ht="24" customHeight="1">
      <c r="B12" s="5" t="s">
        <v>6</v>
      </c>
      <c r="C12" s="37" t="s">
        <v>130</v>
      </c>
      <c r="D12" s="38"/>
      <c r="E12" s="38"/>
      <c r="F12" s="38"/>
    </row>
    <row r="13" spans="2:10" ht="24" customHeight="1">
      <c r="B13" s="5" t="s">
        <v>6</v>
      </c>
      <c r="C13" s="37" t="s">
        <v>131</v>
      </c>
      <c r="D13" s="38"/>
      <c r="E13" s="38"/>
      <c r="F13" s="38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31"/>
  <sheetViews>
    <sheetView showGridLines="0" topLeftCell="A4" zoomScaleNormal="100" workbookViewId="0">
      <selection activeCell="C24" sqref="C24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2" t="s">
        <v>27</v>
      </c>
      <c r="C2" s="40"/>
      <c r="D2" s="40"/>
      <c r="E2" s="40"/>
      <c r="F2" s="40"/>
    </row>
    <row r="3" spans="2:6" ht="28.35" customHeight="1">
      <c r="B3" s="43" t="s">
        <v>140</v>
      </c>
      <c r="C3" s="38"/>
      <c r="D3" s="38"/>
      <c r="E3" s="38"/>
      <c r="F3" s="31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76" t="s">
        <v>150</v>
      </c>
      <c r="C6" s="76" t="s">
        <v>151</v>
      </c>
      <c r="D6" s="76" t="s">
        <v>152</v>
      </c>
      <c r="E6" s="2" t="s">
        <v>153</v>
      </c>
      <c r="F6" s="76" t="s">
        <v>154</v>
      </c>
    </row>
    <row r="7" spans="2:6" ht="30" customHeight="1">
      <c r="B7" s="76" t="s">
        <v>150</v>
      </c>
      <c r="C7" s="76" t="s">
        <v>155</v>
      </c>
      <c r="D7" s="76" t="s">
        <v>156</v>
      </c>
      <c r="E7" s="2" t="s">
        <v>157</v>
      </c>
      <c r="F7" s="76" t="s">
        <v>158</v>
      </c>
    </row>
    <row r="8" spans="2:6" ht="30" customHeight="1">
      <c r="B8" s="76" t="s">
        <v>150</v>
      </c>
      <c r="C8" s="2" t="s">
        <v>159</v>
      </c>
      <c r="D8" s="76" t="s">
        <v>160</v>
      </c>
      <c r="E8" s="2" t="s">
        <v>161</v>
      </c>
      <c r="F8" s="2" t="s">
        <v>162</v>
      </c>
    </row>
    <row r="9" spans="2:6" ht="30" customHeight="1">
      <c r="B9" s="76" t="s">
        <v>150</v>
      </c>
      <c r="C9" s="76" t="s">
        <v>163</v>
      </c>
      <c r="D9" s="2" t="s">
        <v>164</v>
      </c>
      <c r="E9" s="2" t="s">
        <v>165</v>
      </c>
      <c r="F9" s="2" t="s">
        <v>166</v>
      </c>
    </row>
    <row r="10" spans="2:6" ht="30" customHeight="1">
      <c r="B10" s="76" t="s">
        <v>150</v>
      </c>
      <c r="C10" s="76" t="s">
        <v>167</v>
      </c>
      <c r="D10" s="76" t="s">
        <v>168</v>
      </c>
      <c r="E10" s="2" t="s">
        <v>161</v>
      </c>
      <c r="F10" s="2" t="s">
        <v>169</v>
      </c>
    </row>
    <row r="11" spans="2:6" ht="30" customHeight="1">
      <c r="B11" s="76" t="s">
        <v>150</v>
      </c>
      <c r="C11" s="2" t="s">
        <v>170</v>
      </c>
      <c r="D11" s="76" t="s">
        <v>171</v>
      </c>
      <c r="E11" s="2" t="s">
        <v>172</v>
      </c>
      <c r="F11" s="76" t="s">
        <v>173</v>
      </c>
    </row>
    <row r="12" spans="2:6" ht="30" customHeight="1">
      <c r="B12" s="76" t="s">
        <v>150</v>
      </c>
      <c r="C12" s="2" t="s">
        <v>174</v>
      </c>
      <c r="D12" s="2" t="s">
        <v>175</v>
      </c>
      <c r="E12" s="2" t="s">
        <v>176</v>
      </c>
      <c r="F12" s="76" t="s">
        <v>177</v>
      </c>
    </row>
    <row r="13" spans="2:6" ht="30" customHeight="1">
      <c r="B13" s="76" t="s">
        <v>150</v>
      </c>
      <c r="C13" s="76" t="s">
        <v>178</v>
      </c>
      <c r="D13" s="76" t="s">
        <v>179</v>
      </c>
      <c r="E13" s="2" t="s">
        <v>180</v>
      </c>
      <c r="F13" s="76" t="s">
        <v>181</v>
      </c>
    </row>
    <row r="14" spans="2:6" ht="30" customHeight="1">
      <c r="B14" s="76" t="s">
        <v>150</v>
      </c>
      <c r="C14" s="76" t="s">
        <v>182</v>
      </c>
      <c r="D14" s="2" t="s">
        <v>183</v>
      </c>
      <c r="E14" s="2" t="s">
        <v>184</v>
      </c>
      <c r="F14" s="76" t="s">
        <v>185</v>
      </c>
    </row>
    <row r="15" spans="2:6" ht="30" customHeight="1">
      <c r="B15" s="76" t="s">
        <v>150</v>
      </c>
      <c r="C15" s="76" t="s">
        <v>186</v>
      </c>
      <c r="D15" s="76" t="s">
        <v>187</v>
      </c>
      <c r="E15" s="2" t="s">
        <v>188</v>
      </c>
      <c r="F15" s="76" t="s">
        <v>189</v>
      </c>
    </row>
    <row r="16" spans="2:6" ht="30" customHeight="1">
      <c r="B16" s="76" t="s">
        <v>190</v>
      </c>
      <c r="C16" s="76" t="s">
        <v>191</v>
      </c>
      <c r="D16" s="76" t="s">
        <v>192</v>
      </c>
      <c r="E16" s="2" t="s">
        <v>193</v>
      </c>
      <c r="F16" s="76" t="s">
        <v>194</v>
      </c>
    </row>
    <row r="17" spans="2:6" ht="30" customHeight="1">
      <c r="B17" s="76" t="s">
        <v>190</v>
      </c>
      <c r="C17" s="76" t="s">
        <v>195</v>
      </c>
      <c r="D17" s="76" t="s">
        <v>196</v>
      </c>
      <c r="E17" s="2" t="s">
        <v>157</v>
      </c>
      <c r="F17" s="76" t="s">
        <v>197</v>
      </c>
    </row>
    <row r="18" spans="2:6" ht="30" customHeight="1">
      <c r="B18" s="76" t="s">
        <v>190</v>
      </c>
      <c r="C18" s="76" t="s">
        <v>198</v>
      </c>
      <c r="D18" s="76" t="s">
        <v>199</v>
      </c>
      <c r="E18" s="2" t="s">
        <v>161</v>
      </c>
      <c r="F18" s="76" t="s">
        <v>200</v>
      </c>
    </row>
    <row r="19" spans="2:6" ht="30" customHeight="1">
      <c r="B19" s="76" t="s">
        <v>190</v>
      </c>
      <c r="C19" s="76" t="s">
        <v>201</v>
      </c>
      <c r="D19" s="76" t="s">
        <v>202</v>
      </c>
      <c r="E19" s="2" t="s">
        <v>203</v>
      </c>
      <c r="F19" s="76" t="s">
        <v>204</v>
      </c>
    </row>
    <row r="20" spans="2:6" ht="30" customHeight="1">
      <c r="B20" s="76" t="s">
        <v>190</v>
      </c>
      <c r="C20" s="76" t="s">
        <v>205</v>
      </c>
      <c r="D20" s="2" t="s">
        <v>206</v>
      </c>
      <c r="E20" s="2" t="s">
        <v>157</v>
      </c>
      <c r="F20" s="76" t="s">
        <v>207</v>
      </c>
    </row>
    <row r="21" spans="2:6" ht="30" customHeight="1">
      <c r="B21" s="76" t="s">
        <v>190</v>
      </c>
      <c r="C21" s="76" t="s">
        <v>208</v>
      </c>
      <c r="D21" s="76" t="s">
        <v>209</v>
      </c>
      <c r="E21" s="2" t="s">
        <v>157</v>
      </c>
      <c r="F21" s="76" t="s">
        <v>210</v>
      </c>
    </row>
    <row r="22" spans="2:6" ht="30" customHeight="1">
      <c r="B22" s="76" t="s">
        <v>190</v>
      </c>
      <c r="C22" s="76" t="s">
        <v>211</v>
      </c>
      <c r="D22" s="2" t="s">
        <v>212</v>
      </c>
      <c r="E22" s="2" t="s">
        <v>157</v>
      </c>
      <c r="F22" s="76" t="s">
        <v>213</v>
      </c>
    </row>
    <row r="23" spans="2:6" ht="30" customHeight="1">
      <c r="B23" s="76" t="s">
        <v>214</v>
      </c>
      <c r="C23" s="76" t="s">
        <v>239</v>
      </c>
      <c r="D23" s="2" t="s">
        <v>240</v>
      </c>
      <c r="E23" s="2" t="s">
        <v>241</v>
      </c>
      <c r="F23" s="76" t="s">
        <v>242</v>
      </c>
    </row>
    <row r="24" spans="2:6">
      <c r="B24" s="77" t="s">
        <v>214</v>
      </c>
      <c r="C24" s="77" t="s">
        <v>216</v>
      </c>
      <c r="D24" s="27" t="s">
        <v>243</v>
      </c>
      <c r="E24" s="27" t="s">
        <v>215</v>
      </c>
      <c r="F24" s="77" t="s">
        <v>217</v>
      </c>
    </row>
    <row r="25" spans="2:6">
      <c r="B25" s="77" t="s">
        <v>214</v>
      </c>
      <c r="C25" s="77" t="s">
        <v>218</v>
      </c>
      <c r="D25" s="77" t="s">
        <v>219</v>
      </c>
      <c r="E25" s="27" t="s">
        <v>215</v>
      </c>
      <c r="F25" s="27" t="s">
        <v>220</v>
      </c>
    </row>
    <row r="26" spans="2:6">
      <c r="B26" s="77" t="s">
        <v>214</v>
      </c>
      <c r="C26" s="77" t="s">
        <v>221</v>
      </c>
      <c r="D26" s="77" t="s">
        <v>222</v>
      </c>
      <c r="E26" s="27" t="s">
        <v>215</v>
      </c>
      <c r="F26" s="77" t="s">
        <v>223</v>
      </c>
    </row>
    <row r="27" spans="2:6">
      <c r="B27" s="77" t="s">
        <v>214</v>
      </c>
      <c r="C27" s="77" t="s">
        <v>224</v>
      </c>
      <c r="D27" s="77" t="s">
        <v>225</v>
      </c>
      <c r="E27" s="27" t="s">
        <v>215</v>
      </c>
      <c r="F27" s="77" t="s">
        <v>226</v>
      </c>
    </row>
    <row r="28" spans="2:6">
      <c r="B28" s="77" t="s">
        <v>214</v>
      </c>
      <c r="C28" s="77" t="s">
        <v>227</v>
      </c>
      <c r="D28" s="27" t="s">
        <v>228</v>
      </c>
      <c r="E28" s="27" t="s">
        <v>215</v>
      </c>
      <c r="F28" s="77" t="s">
        <v>229</v>
      </c>
    </row>
    <row r="29" spans="2:6">
      <c r="B29" s="77" t="s">
        <v>214</v>
      </c>
      <c r="C29" s="77" t="s">
        <v>230</v>
      </c>
      <c r="D29" s="27" t="s">
        <v>231</v>
      </c>
      <c r="E29" s="27" t="s">
        <v>215</v>
      </c>
      <c r="F29" s="77" t="s">
        <v>232</v>
      </c>
    </row>
    <row r="30" spans="2:6">
      <c r="B30" s="77" t="s">
        <v>214</v>
      </c>
      <c r="C30" s="77" t="s">
        <v>233</v>
      </c>
      <c r="D30" s="27" t="s">
        <v>234</v>
      </c>
      <c r="E30" s="27" t="s">
        <v>215</v>
      </c>
      <c r="F30" s="77" t="s">
        <v>235</v>
      </c>
    </row>
    <row r="31" spans="2:6">
      <c r="B31" s="77" t="s">
        <v>214</v>
      </c>
      <c r="C31" s="77" t="s">
        <v>236</v>
      </c>
      <c r="D31" s="77" t="s">
        <v>237</v>
      </c>
      <c r="E31" s="27" t="s">
        <v>215</v>
      </c>
      <c r="F31" s="77" t="s">
        <v>238</v>
      </c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abSelected="1" zoomScaleNormal="100" workbookViewId="0">
      <selection activeCell="G10" sqref="G10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9" t="s">
        <v>33</v>
      </c>
      <c r="C2" s="40"/>
      <c r="D2" s="40"/>
      <c r="E2" s="40"/>
      <c r="F2" s="40"/>
      <c r="G2" s="40"/>
      <c r="H2" s="40"/>
    </row>
    <row r="3" spans="2:8" ht="72.400000000000006" customHeight="1">
      <c r="B3" s="44" t="s">
        <v>134</v>
      </c>
      <c r="C3" s="38"/>
      <c r="D3" s="38"/>
      <c r="E3" s="38"/>
      <c r="F3" s="38"/>
      <c r="G3" s="38"/>
      <c r="H3" s="31"/>
    </row>
    <row r="4" spans="2:8" ht="18" customHeight="1">
      <c r="B4" s="45" t="s">
        <v>34</v>
      </c>
      <c r="C4" s="38"/>
      <c r="D4" s="38"/>
      <c r="E4" s="38"/>
      <c r="F4" s="38"/>
      <c r="G4" s="38"/>
      <c r="H4" s="31"/>
    </row>
    <row r="5" spans="2:8" ht="31.5" customHeigh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78" t="s">
        <v>244</v>
      </c>
      <c r="C6" s="76" t="s">
        <v>254</v>
      </c>
      <c r="D6" s="3">
        <v>3</v>
      </c>
      <c r="E6" s="79">
        <v>3</v>
      </c>
      <c r="F6" s="79">
        <v>4</v>
      </c>
      <c r="G6" s="5">
        <f>IF(OR(E6="",F6=""),"",E6*F6*2)</f>
        <v>24</v>
      </c>
      <c r="H6" s="5"/>
    </row>
    <row r="7" spans="2:8" ht="33.75" customHeight="1">
      <c r="B7" s="78" t="s">
        <v>245</v>
      </c>
      <c r="C7" s="76" t="s">
        <v>252</v>
      </c>
      <c r="D7" s="3">
        <v>2</v>
      </c>
      <c r="E7" s="79">
        <v>5</v>
      </c>
      <c r="F7" s="79">
        <v>4</v>
      </c>
      <c r="G7" s="5">
        <f t="shared" ref="G7:G13" si="0">IF(OR(E7="",F7=""),"",E7*F7*2)</f>
        <v>40</v>
      </c>
      <c r="H7" s="5"/>
    </row>
    <row r="8" spans="2:8" ht="33.75" customHeight="1">
      <c r="B8" s="78" t="s">
        <v>246</v>
      </c>
      <c r="C8" s="76" t="s">
        <v>255</v>
      </c>
      <c r="D8" s="3">
        <v>3</v>
      </c>
      <c r="E8" s="79">
        <v>3</v>
      </c>
      <c r="F8" s="79">
        <v>3</v>
      </c>
      <c r="G8" s="5">
        <f t="shared" si="0"/>
        <v>18</v>
      </c>
      <c r="H8" s="5"/>
    </row>
    <row r="9" spans="2:8" ht="33.75" customHeight="1">
      <c r="B9" s="78" t="s">
        <v>247</v>
      </c>
      <c r="C9" s="76"/>
      <c r="D9" s="2">
        <v>4</v>
      </c>
      <c r="E9" s="79">
        <v>2</v>
      </c>
      <c r="F9" s="79">
        <v>3</v>
      </c>
      <c r="G9" s="5">
        <f t="shared" si="0"/>
        <v>12</v>
      </c>
      <c r="H9" s="5"/>
    </row>
    <row r="10" spans="2:8" ht="33.75" customHeight="1">
      <c r="B10" s="78" t="s">
        <v>248</v>
      </c>
      <c r="C10" s="76" t="s">
        <v>256</v>
      </c>
      <c r="D10" s="2">
        <v>3</v>
      </c>
      <c r="E10" s="79">
        <v>3</v>
      </c>
      <c r="F10" s="79">
        <v>3</v>
      </c>
      <c r="G10" s="5">
        <f t="shared" si="0"/>
        <v>18</v>
      </c>
      <c r="H10" s="5"/>
    </row>
    <row r="11" spans="2:8" ht="33.75" customHeight="1">
      <c r="B11" s="78" t="s">
        <v>249</v>
      </c>
      <c r="C11" s="76" t="s">
        <v>257</v>
      </c>
      <c r="D11" s="3">
        <v>3</v>
      </c>
      <c r="E11" s="79">
        <v>3</v>
      </c>
      <c r="F11" s="79">
        <v>3</v>
      </c>
      <c r="G11" s="5">
        <f t="shared" si="0"/>
        <v>18</v>
      </c>
      <c r="H11" s="5"/>
    </row>
    <row r="12" spans="2:8" ht="33.75" customHeight="1">
      <c r="B12" s="78" t="s">
        <v>250</v>
      </c>
      <c r="C12" s="76" t="s">
        <v>253</v>
      </c>
      <c r="D12" s="3">
        <v>2</v>
      </c>
      <c r="E12" s="79">
        <v>5</v>
      </c>
      <c r="F12" s="79">
        <v>3</v>
      </c>
      <c r="G12" s="5">
        <f t="shared" si="0"/>
        <v>30</v>
      </c>
      <c r="H12" s="5"/>
    </row>
    <row r="13" spans="2:8" ht="33.75" customHeight="1">
      <c r="B13" s="78" t="s">
        <v>251</v>
      </c>
      <c r="C13" s="76" t="s">
        <v>258</v>
      </c>
      <c r="D13" s="2">
        <v>2</v>
      </c>
      <c r="E13" s="79">
        <v>5</v>
      </c>
      <c r="F13" s="79">
        <v>2</v>
      </c>
      <c r="G13" s="5">
        <f t="shared" si="0"/>
        <v>20</v>
      </c>
      <c r="H13" s="5"/>
    </row>
    <row r="14" spans="2:8">
      <c r="B14" s="77" t="s">
        <v>236</v>
      </c>
      <c r="C14" s="27">
        <v>4</v>
      </c>
      <c r="D14" s="77"/>
      <c r="E14" s="77"/>
    </row>
    <row r="15" spans="2:8" ht="118.7" customHeight="1">
      <c r="B15" s="16" t="s">
        <v>133</v>
      </c>
      <c r="C15" s="46"/>
      <c r="D15" s="47"/>
      <c r="E15" s="47"/>
      <c r="F15" s="47"/>
      <c r="G15" s="47"/>
      <c r="H15" s="48"/>
    </row>
  </sheetData>
  <mergeCells count="4">
    <mergeCell ref="B3:H3"/>
    <mergeCell ref="B2:H2"/>
    <mergeCell ref="B4:H4"/>
    <mergeCell ref="C15:H15"/>
  </mergeCells>
  <phoneticPr fontId="17" type="noConversion"/>
  <conditionalFormatting sqref="G6:G13">
    <cfRule type="expression" dxfId="0" priority="2">
      <formula>AND(G6&lt;&gt;"",G6&gt;=32)</formula>
    </cfRule>
  </conditionalFormatting>
  <dataValidations count="2">
    <dataValidation type="list" allowBlank="1" sqref="F6:F13" xr:uid="{F1FD4B34-FB75-4CF7-A97B-B88712FF1FE4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2" t="s">
        <v>42</v>
      </c>
      <c r="C2" s="40"/>
    </row>
    <row r="3" spans="2:3" ht="18" customHeight="1">
      <c r="B3" s="51" t="s">
        <v>43</v>
      </c>
      <c r="C3" s="31"/>
    </row>
    <row r="4" spans="2:3" ht="30" customHeight="1">
      <c r="B4" s="1" t="s">
        <v>44</v>
      </c>
      <c r="C4" s="2"/>
    </row>
    <row r="5" spans="2:3" ht="30" customHeight="1">
      <c r="B5" s="1" t="s">
        <v>45</v>
      </c>
      <c r="C5" s="2"/>
    </row>
    <row r="6" spans="2:3" ht="30" customHeight="1">
      <c r="B6" s="1" t="s">
        <v>46</v>
      </c>
      <c r="C6" s="2"/>
    </row>
    <row r="7" spans="2:3" ht="30" customHeight="1">
      <c r="B7" s="1" t="s">
        <v>47</v>
      </c>
      <c r="C7" s="2"/>
    </row>
    <row r="9" spans="2:3" ht="15" customHeight="1">
      <c r="B9" s="49" t="s">
        <v>48</v>
      </c>
      <c r="C9" s="50"/>
    </row>
    <row r="10" spans="2:3" ht="25.5" customHeight="1">
      <c r="B10" s="35"/>
      <c r="C10" s="36"/>
    </row>
    <row r="11" spans="2:3" ht="25.5" customHeight="1">
      <c r="B11" s="35"/>
      <c r="C11" s="36"/>
    </row>
    <row r="12" spans="2:3" ht="25.5" customHeight="1">
      <c r="B12" s="35"/>
      <c r="C12" s="36"/>
    </row>
    <row r="13" spans="2:3" ht="25.5" customHeight="1">
      <c r="B13" s="35"/>
      <c r="C13" s="36"/>
    </row>
    <row r="14" spans="2:3" ht="25.5" customHeight="1">
      <c r="B14" s="35"/>
      <c r="C14" s="36"/>
    </row>
    <row r="16" spans="2:3" ht="15" customHeight="1">
      <c r="B16" s="54" t="s">
        <v>49</v>
      </c>
      <c r="C16" s="55"/>
    </row>
    <row r="17" spans="2:3" ht="25.5" customHeight="1">
      <c r="B17" s="35"/>
      <c r="C17" s="36"/>
    </row>
    <row r="18" spans="2:3" ht="25.5" customHeight="1">
      <c r="B18" s="35"/>
      <c r="C18" s="36"/>
    </row>
    <row r="19" spans="2:3" ht="25.5" customHeight="1">
      <c r="B19" s="35"/>
      <c r="C19" s="36"/>
    </row>
    <row r="21" spans="2:3" ht="15" customHeight="1">
      <c r="B21" s="52" t="s">
        <v>50</v>
      </c>
      <c r="C21" s="53"/>
    </row>
    <row r="22" spans="2:3" ht="25.5" customHeight="1">
      <c r="B22" s="35"/>
      <c r="C22" s="36"/>
    </row>
    <row r="23" spans="2:3" ht="25.5" customHeight="1">
      <c r="B23" s="35"/>
      <c r="C23" s="36"/>
    </row>
    <row r="24" spans="2:3" ht="25.5" customHeight="1">
      <c r="B24" s="35"/>
      <c r="C24" s="36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/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7" t="s">
        <v>51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79.7" customHeight="1">
      <c r="B3" s="56" t="s">
        <v>135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1"/>
    </row>
    <row r="4" spans="2:13" ht="25.5" customHeigh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3" ht="30" customHeight="1">
      <c r="B5" s="5">
        <v>1</v>
      </c>
      <c r="C5" s="5"/>
      <c r="D5" s="2"/>
      <c r="E5" s="5"/>
      <c r="F5" s="5"/>
      <c r="G5" s="5"/>
      <c r="H5" s="5" t="str">
        <f t="shared" ref="H5:H18" si="0">IF(OR(F5="",G5=""),"",G5-F5+1)</f>
        <v/>
      </c>
      <c r="I5" s="5"/>
      <c r="J5" s="5"/>
      <c r="K5" s="3"/>
      <c r="L5" s="3"/>
      <c r="M5" s="3"/>
    </row>
    <row r="6" spans="2:13" ht="30" customHeight="1">
      <c r="B6" s="5">
        <v>2</v>
      </c>
      <c r="C6" s="5"/>
      <c r="D6" s="2"/>
      <c r="E6" s="5"/>
      <c r="F6" s="5"/>
      <c r="G6" s="5"/>
      <c r="H6" s="5" t="str">
        <f t="shared" si="0"/>
        <v/>
      </c>
      <c r="I6" s="5"/>
      <c r="J6" s="5"/>
      <c r="K6" s="3"/>
      <c r="L6" s="3"/>
      <c r="M6" s="3"/>
    </row>
    <row r="7" spans="2:13" ht="30" customHeight="1">
      <c r="B7" s="5">
        <v>3</v>
      </c>
      <c r="C7" s="5"/>
      <c r="D7" s="2"/>
      <c r="E7" s="5"/>
      <c r="F7" s="5"/>
      <c r="G7" s="5"/>
      <c r="H7" s="5" t="str">
        <f t="shared" si="0"/>
        <v/>
      </c>
      <c r="I7" s="5"/>
      <c r="J7" s="5"/>
      <c r="K7" s="3"/>
      <c r="L7" s="3"/>
      <c r="M7" s="3"/>
    </row>
    <row r="8" spans="2:13" ht="30" customHeight="1">
      <c r="B8" s="5">
        <v>4</v>
      </c>
      <c r="C8" s="5"/>
      <c r="D8" s="2"/>
      <c r="E8" s="5"/>
      <c r="F8" s="5"/>
      <c r="G8" s="5"/>
      <c r="H8" s="5" t="str">
        <f t="shared" si="0"/>
        <v/>
      </c>
      <c r="I8" s="5"/>
      <c r="J8" s="5"/>
      <c r="K8" s="3"/>
      <c r="L8" s="3"/>
      <c r="M8" s="3"/>
    </row>
    <row r="9" spans="2:13" ht="30" customHeight="1">
      <c r="B9" s="5">
        <v>5</v>
      </c>
      <c r="C9" s="5"/>
      <c r="D9" s="2"/>
      <c r="E9" s="5"/>
      <c r="F9" s="5"/>
      <c r="G9" s="5"/>
      <c r="H9" s="5" t="str">
        <f t="shared" si="0"/>
        <v/>
      </c>
      <c r="I9" s="5"/>
      <c r="J9" s="5"/>
      <c r="K9" s="3"/>
      <c r="L9" s="3"/>
      <c r="M9" s="3"/>
    </row>
    <row r="10" spans="2:13" ht="30" customHeight="1">
      <c r="B10" s="5">
        <v>6</v>
      </c>
      <c r="C10" s="5"/>
      <c r="D10" s="2"/>
      <c r="E10" s="5"/>
      <c r="F10" s="5"/>
      <c r="G10" s="5"/>
      <c r="H10" s="5" t="str">
        <f t="shared" si="0"/>
        <v/>
      </c>
      <c r="I10" s="5"/>
      <c r="J10" s="5"/>
      <c r="K10" s="3"/>
      <c r="L10" s="3"/>
      <c r="M10" s="3"/>
    </row>
    <row r="11" spans="2:13" ht="30" customHeight="1">
      <c r="B11" s="5">
        <v>7</v>
      </c>
      <c r="C11" s="5"/>
      <c r="D11" s="2"/>
      <c r="E11" s="5"/>
      <c r="F11" s="5"/>
      <c r="G11" s="5"/>
      <c r="H11" s="5" t="str">
        <f t="shared" si="0"/>
        <v/>
      </c>
      <c r="I11" s="5"/>
      <c r="J11" s="5"/>
      <c r="K11" s="3"/>
      <c r="L11" s="3"/>
      <c r="M11" s="3"/>
    </row>
    <row r="12" spans="2:13" ht="30" customHeight="1">
      <c r="B12" s="5">
        <v>8</v>
      </c>
      <c r="C12" s="5"/>
      <c r="D12" s="2"/>
      <c r="E12" s="5"/>
      <c r="F12" s="5"/>
      <c r="G12" s="5"/>
      <c r="H12" s="5" t="str">
        <f t="shared" si="0"/>
        <v/>
      </c>
      <c r="I12" s="5"/>
      <c r="J12" s="5"/>
      <c r="K12" s="3"/>
      <c r="L12" s="3"/>
      <c r="M12" s="3"/>
    </row>
    <row r="13" spans="2:13" ht="30" customHeight="1">
      <c r="B13" s="5">
        <v>9</v>
      </c>
      <c r="C13" s="5"/>
      <c r="D13" s="2"/>
      <c r="E13" s="5"/>
      <c r="F13" s="5"/>
      <c r="G13" s="5"/>
      <c r="H13" s="5" t="str">
        <f t="shared" si="0"/>
        <v/>
      </c>
      <c r="I13" s="5"/>
      <c r="J13" s="5"/>
      <c r="K13" s="3"/>
      <c r="L13" s="3"/>
      <c r="M13" s="3"/>
    </row>
    <row r="14" spans="2:13" ht="30" customHeight="1">
      <c r="B14" s="5">
        <v>10</v>
      </c>
      <c r="C14" s="5"/>
      <c r="D14" s="2"/>
      <c r="E14" s="5"/>
      <c r="F14" s="5"/>
      <c r="G14" s="5"/>
      <c r="H14" s="5" t="str">
        <f t="shared" si="0"/>
        <v/>
      </c>
      <c r="I14" s="5"/>
      <c r="J14" s="5"/>
      <c r="K14" s="3"/>
      <c r="L14" s="3"/>
      <c r="M14" s="3"/>
    </row>
    <row r="15" spans="2:13" ht="30" customHeight="1">
      <c r="B15" s="5">
        <v>11</v>
      </c>
      <c r="C15" s="5"/>
      <c r="D15" s="2"/>
      <c r="E15" s="5"/>
      <c r="F15" s="5"/>
      <c r="G15" s="5"/>
      <c r="H15" s="5" t="str">
        <f t="shared" si="0"/>
        <v/>
      </c>
      <c r="I15" s="5"/>
      <c r="J15" s="5"/>
      <c r="K15" s="3"/>
      <c r="L15" s="3"/>
      <c r="M15" s="3"/>
    </row>
    <row r="16" spans="2:13" ht="30" customHeight="1">
      <c r="B16" s="5">
        <v>12</v>
      </c>
      <c r="C16" s="5"/>
      <c r="D16" s="2"/>
      <c r="E16" s="5"/>
      <c r="F16" s="5"/>
      <c r="G16" s="5"/>
      <c r="H16" s="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58" t="s">
        <v>136</v>
      </c>
      <c r="C20" s="59"/>
    </row>
    <row r="21" spans="2:13" ht="15" customHeight="1">
      <c r="B21" s="60" t="s">
        <v>58</v>
      </c>
      <c r="C21" s="61"/>
    </row>
    <row r="22" spans="2:13" ht="15" customHeight="1">
      <c r="B22" s="62" t="s">
        <v>59</v>
      </c>
      <c r="C22" s="63"/>
    </row>
    <row r="23" spans="2:13" ht="15" customHeight="1">
      <c r="B23" s="66" t="s">
        <v>60</v>
      </c>
      <c r="C23" s="67"/>
    </row>
    <row r="24" spans="2:13" ht="15" customHeight="1">
      <c r="B24" s="68" t="s">
        <v>61</v>
      </c>
      <c r="C24" s="69"/>
    </row>
    <row r="25" spans="2:13" ht="15" customHeight="1">
      <c r="B25" s="70" t="s">
        <v>62</v>
      </c>
      <c r="C25" s="71"/>
    </row>
    <row r="26" spans="2:13" ht="15" customHeight="1">
      <c r="B26" s="72" t="s">
        <v>63</v>
      </c>
      <c r="C26" s="73"/>
    </row>
    <row r="27" spans="2:13" ht="15" customHeight="1">
      <c r="B27" s="74" t="s">
        <v>64</v>
      </c>
      <c r="C27" s="75"/>
    </row>
    <row r="28" spans="2:13" ht="15" customHeight="1">
      <c r="B28" s="64" t="s">
        <v>65</v>
      </c>
      <c r="C28" s="65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conditionalFormatting sqref="K5:M18">
    <cfRule type="expression" dxfId="1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9" t="s">
        <v>66</v>
      </c>
      <c r="C2" s="40"/>
    </row>
    <row r="3" spans="2:3" ht="19.5" customHeight="1">
      <c r="B3" s="45" t="s">
        <v>67</v>
      </c>
      <c r="C3" s="31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2026-07-14T04:50:58Z</dcterms:modified>
  <dc:language>en-US</dc:language>
</cp:coreProperties>
</file>